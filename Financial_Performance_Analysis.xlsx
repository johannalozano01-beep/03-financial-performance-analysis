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<sst xmlns="http://schemas.openxmlformats.org/spreadsheetml/2006/main" count="32" uniqueCount="32">
  <si>
    <t>Pais</t>
  </si>
  <si>
    <t>ClaveTerritorio</t>
  </si>
  <si>
    <t>ingresos</t>
  </si>
  <si>
    <t>costos</t>
  </si>
  <si>
    <t>CostoCampanas</t>
  </si>
  <si>
    <t>BeneficioBruto</t>
  </si>
  <si>
    <t>Margen_pct</t>
  </si>
  <si>
    <t>ROI_pct</t>
  </si>
  <si>
    <t>INSIGHT C F I</t>
  </si>
  <si>
    <t>United States</t>
  </si>
  <si>
    <t>Contexto:</t>
  </si>
  <si>
    <t>Australia</t>
  </si>
  <si>
    <t>Este análisis evalúa el desempeño de la tabla financiera que consolida los ingresos, costos de marketing, margen neto y ROI de Estados Unidos, Reino Unido, Francia y Alemania. El enfoque principal del estudio consiste en examinar la relación directa entre la facturación obtenida y los recursos invertidos en publicidad en cada territorio. A través de este diagnóstico, logramos identificar con precisión el beneficio neto real que aporta cada país y el nivel de eficiencia con el que opera cada mercado. Esto nos permite estructurar una base sólida para la toma de decisiones estratégicas y la optimización del presupuesto global de la empresa.</t>
  </si>
  <si>
    <t>United Kingdom</t>
  </si>
  <si>
    <t>Germany</t>
  </si>
  <si>
    <t>France</t>
  </si>
  <si>
    <t>Canada</t>
  </si>
  <si>
    <t>¿Cuál es la diferencia entre Margen y ROI?</t>
  </si>
  <si>
    <t>Hallazgos</t>
  </si>
  <si>
    <t>El Margen Neto es dinero real ($): Te dice cuántos dólares se quedan en la caja del negocio después de restar lo que nos costó la publicidad. Es una métrica de volumen (para saber el tamaño de la ganancia).
El ROI es un porcentaje (%): Te dice qué tan inteligente y eficiente fue la inversión. Es decir, cuántos centavos de ganancia limpia nos devolvió cada dólar que decidimos gastar en anuncios. Es una métrica de rendimiento.</t>
  </si>
  <si>
    <t>1) Líder absoluto en volumen y eficiencia: Estados Unidos se consolida como el pilar estratégico más importante de la empresa. Este mercado no solo lidera la facturación global con $3,353,939.92 en ingresos brutos y genera el mayor margen neto con $1,454,468.60, sino que además es el país más eficiente de toda la organización al registrar el retorno de inversión más alto de la tabla, con un ROI del 75.75%</t>
  </si>
  <si>
    <t>¿Por qué el ROI en Estados Unidos es tan alto comparado con otros países?</t>
  </si>
  <si>
    <t>2)Comportamiento y asimetría en la Eurozona (Reino Unido, Alemania y Francia): Existe un patrón uniforme en los mercados europeos en cuanto a escala y asignación de recursos; todos se sitúan entre los $920k y $1.1M en ingresos, bajo presupuestos de marketing similares (entre $2.2M y $2.3M). Sin embargo, la respuesta comercial no es homogénea: Reino Unido lidera la región en rentabilidad con un ROI del 22.05%, mientras que Francia muestra un rezago operativo, situándose en un 17.96%.</t>
  </si>
  <si>
    <t>1)Estados Unidos lidera el ROI global con un 75.75% por tres razones fundamentales:
* Eficiencia por escala: Al invertir un presupuesto robusto ($1.92M), los algoritmos publicitarios acumulan datos más rápido, optimizan la segmentación de manera ultra precisa y eliminan el gasto innecesario.
* Fuerza de marca y menor fricción: La alta penetración y confianza en el mercado estadounidense hacen que el cliente decida su compra más rápido, reduciendo el costo de adquisición.
* Ticket promedio y valor de vida (LTV) altos: El consumidor de EE. UU. posee un alto poder adquisitivo; aunque adquirirlo cueste dinero, compra más volumen y con mayor frecuencia, lo que maximiza exponencialmente el retorno de cada dólar invertido.</t>
  </si>
  <si>
    <t>3) Optimización de recursos y alto rendimiento (Australia): El mercado australiano sobresale por su excelente rentabilidad en relación al capital invertido, generando $2,532,003.49 en ingresos y un sólido ROI del 49.16%. El aspecto más relevante para la toma de decisiones financieras es que Australia requirió un presupuesto de marketing menor ($2.15M) que el de Reino Unido ($2.3M) para entregar prácticamente el doble de beneficio bruto ($1,057,045.31), consolidándose como una de las operaciones más nobles y atractivas del negocio.</t>
  </si>
  <si>
    <t>Si aumentáramos el gasto de campañas en un 50%, ¿qué pasaría con el ROI?</t>
  </si>
  <si>
    <t>1) Si aumentáramos el gasto de campañas en un 50% de golpe, el ROI disminuiría en la mayoría de los mercados debido a la ley de rendimientos decrecientes:
* Saturación y más costo (CAC): Los primeros dólares capturan al público ideal. Al gastar más, impactamos a audiencias menos interesadas, lo que encarece el costo de adquisición de cada cliente.
* Crecimiento desigual: Las ventas totales van a subir, pero no van a crecer en la misma proporción (50%) que la inversión, lo que diluye el porcentaje de eficiencia (ROI).
* La excepción: El ROI solo se mantendría o subiría en mercados que hoy están "subinvertidos" (como Canadá o Australia), donde todavía hay mucha demanda desatendida por falta de presupuesto. En mercados maduros como EE. UU., el ROI caerá inevitablemente.</t>
  </si>
  <si>
    <t>4) Eficiencia a baja escala (Canadá): A pesar de ser el mercado con menor facturación absoluta ($481k) y el presupuesto publicitario más bajo ($1.9M), Canadá reporta un ROI del 19.64%, superando la eficiencia porcentual de un territorio mucho más consolidado como Francia (17.96%). Este rendimiento inicial sugiere que el mercado canadiense responde positivamente a los esfuerzos de adquisición y posee un alto potencial de escalabilidad si se incrementa gradualmente su presupuesto.</t>
  </si>
  <si>
    <t>Implicación</t>
  </si>
  <si>
    <t>1) Implicación de la concentración y eficiencia en Estados Unidos: Al ser el mercado con mayor volumen de ingresos ($3.35M) y el ROI más alto (75.75%), Estados Unidos es el pilar que sostiene la rentabilidad global. Sin embargo, depender tan fuertemente de un solo territorio expone al negocio a riesgos sistémicos ante cualquier cambio competitivo en la región.</t>
  </si>
  <si>
    <t>2) Implicación del alto rendimiento en Australia: El excelente ROI de Australia (49.16%) con un presupuesto menor al europeo demuestra que es una operación sumamente noble y eficiente. La implicación financiera es clara: estamos subinvirtiendo en un mercado que tiene una respuesta comercial sumamente receptiva y rentable.</t>
  </si>
  <si>
    <t>3) Implicación de la asimetría en Europa Central: La Eurozona absorbe una parte considerable del presupuesto global de marketing, pero ofrece retornos moderados (entre 17% y 22%). Mantener el gasto publicitario plano en estos países sin optimizar la conversión diluye el margen neto consolidado de la empresa.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</si>
</sst>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ill="1"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ill="1" applyFont="1">
      <alignment horizontal="right" vertical="center"/>
    </xf>
    <xf borderId="5" fillId="4" fontId="2" numFmtId="0" xfId="0" applyAlignment="1" applyBorder="1" applyFill="1" applyFont="1">
      <alignment horizontal="right" vertical="center"/>
    </xf>
    <xf borderId="0" fillId="2" fontId="2" numFmtId="0" xfId="0" applyAlignment="1" applyFill="1" applyFont="1">
      <alignment horizontal="right" vertical="center"/>
    </xf>
    <xf borderId="4" fillId="5" fontId="2" numFmtId="0" xfId="0" applyAlignment="1" applyBorder="1" applyFill="1" applyFont="1">
      <alignment horizontal="left" readingOrder="0" shrinkToFit="0" vertical="top" wrapText="1"/>
    </xf>
    <xf borderId="5" fillId="0" fontId="4" numFmtId="0" xfId="0" applyBorder="1" applyFont="1"/>
    <xf borderId="4" fillId="0" fontId="4" numFmtId="0" xfId="0" applyBorder="1" applyFont="1"/>
    <xf borderId="1" fillId="4" fontId="1" numFmtId="0" xfId="0" applyAlignment="1" applyBorder="1" applyFill="1" applyFont="1">
      <alignment horizontal="left" readingOrder="0" vertical="center"/>
    </xf>
    <xf borderId="1" fillId="5" fontId="2" numFmtId="0" xfId="0" applyAlignment="1" applyBorder="1" applyFill="1" applyFont="1">
      <alignment horizontal="left" readingOrder="0" shrinkToFit="0" vertical="top" wrapText="1"/>
    </xf>
    <xf borderId="6" fillId="0" fontId="4" numFmtId="0" xfId="0" applyBorder="1" applyFont="1"/>
    <xf borderId="7" fillId="0" fontId="4" numFmtId="0" xfId="0" applyBorder="1" applyFont="1"/>
    <xf borderId="8" fillId="0" fontId="4" numFmtId="0" xfId="0" applyBorder="1" applyFont="1"/>
    <xf borderId="4" fillId="4" fontId="1" numFmtId="0" xfId="0" applyAlignment="1" applyBorder="1" applyFill="1" applyFont="1">
      <alignment horizontal="left" readingOrder="0" vertical="center"/>
    </xf>
    <xf borderId="1" fillId="4" fontId="1" numFmtId="0" xfId="0" applyAlignment="1" applyBorder="1" applyFill="1" applyFont="1">
      <alignment horizontal="right" readingOrder="0" vertical="center"/>
    </xf>
    <xf borderId="2" fillId="4" fontId="2" numFmtId="0" xfId="0" applyAlignment="1" applyBorder="1" applyFill="1" applyFont="1">
      <alignment horizontal="right" vertical="center"/>
    </xf>
    <xf borderId="3" fillId="4" fontId="2" numFmtId="0" xfId="0" applyAlignment="1" applyBorder="1" applyFill="1" applyFont="1">
      <alignment horizontal="right"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1" width="35.63"/>
    <col customWidth="1" min="12" max="13" width="12.0"/>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L3" s="12"/>
      <c r="M3" s="13"/>
      <c r="N3" s="2"/>
    </row>
    <row r="4" ht="19.5" customHeight="1">
      <c r="A4" s="14"/>
      <c r="B4" s="7" t="s">
        <v>11</v>
      </c>
      <c r="C4" s="7">
        <v>9.0</v>
      </c>
      <c r="D4" s="8">
        <v>2532003.49</v>
      </c>
      <c r="E4" s="8">
        <v>1474958.18</v>
      </c>
      <c r="F4" s="8">
        <v>2150400.0</v>
      </c>
      <c r="G4" s="8">
        <v>1057045.31</v>
      </c>
      <c r="H4" s="9">
        <v>0.4175</v>
      </c>
      <c r="I4" s="10">
        <v>0.4916</v>
      </c>
      <c r="J4" s="14"/>
      <c r="K4" s="15" t="s">
        <v>12</v>
      </c>
      <c r="M4" s="16"/>
      <c r="N4" s="14"/>
    </row>
    <row r="5" ht="19.5" customHeight="1">
      <c r="A5" s="2"/>
      <c r="B5" s="7" t="s">
        <v>13</v>
      </c>
      <c r="C5" s="7">
        <v>10.0</v>
      </c>
      <c r="D5" s="8">
        <v>1189636.78</v>
      </c>
      <c r="E5" s="8">
        <v>681508.55</v>
      </c>
      <c r="F5" s="8">
        <v>2304000.0</v>
      </c>
      <c r="G5" s="8">
        <v>508128.24</v>
      </c>
      <c r="H5" s="9">
        <v>0.42710000000000004</v>
      </c>
      <c r="I5" s="10">
        <v>0.2205</v>
      </c>
      <c r="J5" s="2"/>
      <c r="K5" s="17"/>
      <c r="M5" s="16"/>
      <c r="N5" s="2"/>
    </row>
    <row r="6" ht="19.5" customHeight="1">
      <c r="A6" s="2"/>
      <c r="B6" s="7" t="s">
        <v>14</v>
      </c>
      <c r="C6" s="7">
        <v>8.0</v>
      </c>
      <c r="D6" s="8">
        <v>1071460.42</v>
      </c>
      <c r="E6" s="8">
        <v>611295.36</v>
      </c>
      <c r="F6" s="8">
        <v>2265600.0</v>
      </c>
      <c r="G6" s="8">
        <v>460165.06</v>
      </c>
      <c r="H6" s="9">
        <v>0.42950000000000005</v>
      </c>
      <c r="I6" s="10">
        <v>0.20309999999999997</v>
      </c>
      <c r="J6" s="2"/>
      <c r="K6" s="17"/>
      <c r="M6" s="16"/>
      <c r="N6" s="2"/>
    </row>
    <row r="7" ht="19.5" customHeight="1">
      <c r="A7" s="2"/>
      <c r="B7" s="7" t="s">
        <v>15</v>
      </c>
      <c r="C7" s="7">
        <v>7.0</v>
      </c>
      <c r="D7" s="8">
        <v>924316.93</v>
      </c>
      <c r="E7" s="8">
        <v>527797.14</v>
      </c>
      <c r="F7" s="8">
        <v>2208000.0</v>
      </c>
      <c r="G7" s="8">
        <v>396519.79</v>
      </c>
      <c r="H7" s="9">
        <v>0.429</v>
      </c>
      <c r="I7" s="10">
        <v>0.1796</v>
      </c>
      <c r="J7" s="2"/>
      <c r="K7" s="17"/>
      <c r="M7" s="16"/>
      <c r="N7" s="2"/>
    </row>
    <row r="8" ht="19.5" customHeight="1">
      <c r="A8" s="2"/>
      <c r="B8" s="7" t="s">
        <v>16</v>
      </c>
      <c r="C8" s="7">
        <v>6.0</v>
      </c>
      <c r="D8" s="8">
        <v>710205.18</v>
      </c>
      <c r="E8" s="8">
        <v>392325.91</v>
      </c>
      <c r="F8" s="8">
        <v>1824000.0</v>
      </c>
      <c r="G8" s="8">
        <v>317879.27</v>
      </c>
      <c r="H8" s="9">
        <v>0.4476</v>
      </c>
      <c r="I8" s="10">
        <v>0.1743</v>
      </c>
      <c r="J8" s="2"/>
      <c r="K8" s="17"/>
      <c r="M8" s="16"/>
      <c r="N8" s="2"/>
    </row>
    <row r="9" ht="19.5" customHeight="1">
      <c r="A9" s="2"/>
      <c r="B9" s="2"/>
      <c r="C9" s="2"/>
      <c r="D9" s="2"/>
      <c r="E9" s="2"/>
      <c r="F9" s="2"/>
      <c r="G9" s="2"/>
      <c r="H9" s="2"/>
      <c r="I9" s="2"/>
      <c r="J9" s="2"/>
      <c r="K9" s="17"/>
      <c r="M9" s="16"/>
      <c r="N9" s="2"/>
    </row>
    <row r="10" ht="19.5" customHeight="1">
      <c r="A10" s="2"/>
      <c r="B10" s="18" t="s">
        <v>17</v>
      </c>
      <c r="C10" s="5"/>
      <c r="D10" s="5"/>
      <c r="E10" s="5"/>
      <c r="F10" s="5"/>
      <c r="G10" s="5"/>
      <c r="H10" s="5"/>
      <c r="I10" s="6"/>
      <c r="J10" s="2"/>
      <c r="K10" s="11" t="s">
        <v>18</v>
      </c>
      <c r="L10" s="12"/>
      <c r="M10" s="13"/>
      <c r="N10" s="2"/>
    </row>
    <row r="11" ht="19.5" customHeight="1">
      <c r="A11" s="14"/>
      <c r="B11" s="15" t="s">
        <v>19</v>
      </c>
      <c r="I11" s="16"/>
      <c r="J11" s="14"/>
      <c r="K11" s="19" t="s">
        <v>20</v>
      </c>
      <c r="L11" s="5"/>
      <c r="M11" s="6"/>
      <c r="N11" s="14"/>
    </row>
    <row r="12" ht="19.5" customHeight="1">
      <c r="A12" s="2"/>
      <c r="B12" s="17"/>
      <c r="I12" s="16"/>
      <c r="J12" s="2"/>
      <c r="K12" s="17"/>
      <c r="M12" s="16"/>
      <c r="N12" s="2"/>
    </row>
    <row r="13" ht="19.5" customHeight="1">
      <c r="A13" s="2"/>
      <c r="B13" s="17"/>
      <c r="I13" s="16"/>
      <c r="J13" s="2"/>
      <c r="K13" s="17"/>
      <c r="M13" s="16"/>
      <c r="N13" s="2"/>
    </row>
    <row r="14" ht="19.5" customHeight="1">
      <c r="A14" s="2"/>
      <c r="B14" s="17"/>
      <c r="I14" s="16"/>
      <c r="J14" s="2"/>
      <c r="K14" s="20"/>
      <c r="L14" s="21"/>
      <c r="M14" s="22"/>
      <c r="N14" s="2"/>
    </row>
    <row r="15" ht="19.5" customHeight="1">
      <c r="A15" s="2"/>
      <c r="B15" s="18" t="s">
        <v>21</v>
      </c>
      <c r="C15" s="5"/>
      <c r="D15" s="5"/>
      <c r="E15" s="5"/>
      <c r="F15" s="5"/>
      <c r="G15" s="5"/>
      <c r="H15" s="5"/>
      <c r="I15" s="6"/>
      <c r="J15" s="2"/>
      <c r="K15" s="15" t="s">
        <v>22</v>
      </c>
      <c r="M15" s="16"/>
      <c r="N15" s="2"/>
    </row>
    <row r="16" ht="19.5" customHeight="1">
      <c r="A16" s="2"/>
      <c r="B16" s="15" t="s">
        <v>23</v>
      </c>
      <c r="I16" s="16"/>
      <c r="J16" s="2"/>
      <c r="K16" s="17"/>
      <c r="M16" s="16"/>
      <c r="N16" s="2"/>
    </row>
    <row r="17" ht="19.5" customHeight="1">
      <c r="A17" s="2"/>
      <c r="B17" s="17"/>
      <c r="I17" s="16"/>
      <c r="J17" s="2"/>
      <c r="K17" s="17"/>
      <c r="M17" s="16"/>
      <c r="N17" s="2"/>
    </row>
    <row r="18" ht="19.5" customHeight="1">
      <c r="A18" s="2"/>
      <c r="B18" s="17"/>
      <c r="I18" s="16"/>
      <c r="J18" s="2"/>
      <c r="K18" s="17"/>
      <c r="M18" s="16"/>
      <c r="N18" s="2"/>
    </row>
    <row r="19" ht="19.5" customHeight="1">
      <c r="A19" s="2"/>
      <c r="B19" s="17"/>
      <c r="I19" s="16"/>
      <c r="J19" s="2"/>
      <c r="K19" s="17"/>
      <c r="M19" s="16"/>
      <c r="N19" s="2"/>
    </row>
    <row r="20" ht="19.5" customHeight="1">
      <c r="A20" s="2"/>
      <c r="B20" s="17"/>
      <c r="I20" s="16"/>
      <c r="J20" s="2"/>
      <c r="K20" s="19" t="s">
        <v>24</v>
      </c>
      <c r="L20" s="5"/>
      <c r="M20" s="6"/>
      <c r="N20" s="2"/>
    </row>
    <row r="21" ht="19.5" customHeight="1">
      <c r="A21" s="2"/>
      <c r="B21" s="17"/>
      <c r="I21" s="16"/>
      <c r="J21" s="2"/>
      <c r="K21" s="17"/>
      <c r="M21" s="16"/>
      <c r="N21" s="2"/>
    </row>
    <row r="22" ht="19.5" customHeight="1">
      <c r="A22" s="2"/>
      <c r="B22" s="17"/>
      <c r="I22" s="16"/>
      <c r="J22" s="2"/>
      <c r="K22" s="17"/>
      <c r="M22" s="16"/>
      <c r="N22" s="2"/>
    </row>
    <row r="23" ht="19.5" customHeight="1">
      <c r="A23" s="2"/>
      <c r="B23" s="23" t="s">
        <v>25</v>
      </c>
      <c r="I23" s="16"/>
      <c r="J23" s="2"/>
      <c r="K23" s="17"/>
      <c r="M23" s="16"/>
      <c r="N23" s="2"/>
    </row>
    <row r="24" ht="19.5" customHeight="1">
      <c r="A24" s="2"/>
      <c r="B24" s="15" t="s">
        <v>26</v>
      </c>
      <c r="I24" s="16"/>
      <c r="J24" s="2"/>
      <c r="K24" s="20"/>
      <c r="L24" s="21"/>
      <c r="M24" s="22"/>
      <c r="N24" s="2"/>
    </row>
    <row r="25" ht="19.5" customHeight="1">
      <c r="A25" s="2"/>
      <c r="B25" s="17"/>
      <c r="I25" s="16"/>
      <c r="J25" s="2"/>
      <c r="K25" s="19" t="s">
        <v>27</v>
      </c>
      <c r="L25" s="5"/>
      <c r="M25" s="6"/>
      <c r="N25" s="2"/>
    </row>
    <row r="26" ht="19.5" customHeight="1">
      <c r="A26" s="2"/>
      <c r="B26" s="17"/>
      <c r="I26" s="16"/>
      <c r="J26" s="2"/>
      <c r="K26" s="17"/>
      <c r="M26" s="16"/>
      <c r="N26" s="2"/>
    </row>
    <row r="27" ht="19.5" customHeight="1">
      <c r="A27" s="2"/>
      <c r="B27" s="17"/>
      <c r="I27" s="16"/>
      <c r="J27" s="2"/>
      <c r="K27" s="17"/>
      <c r="M27" s="16"/>
      <c r="N27" s="2"/>
    </row>
    <row r="28" ht="19.5" customHeight="1">
      <c r="A28" s="2"/>
      <c r="B28" s="17"/>
      <c r="I28" s="16"/>
      <c r="J28" s="2"/>
      <c r="K28" s="17"/>
      <c r="M28" s="16"/>
      <c r="N28" s="2"/>
    </row>
    <row r="29" ht="19.5" customHeight="1">
      <c r="A29" s="2"/>
      <c r="B29" s="20"/>
      <c r="C29" s="21"/>
      <c r="D29" s="21"/>
      <c r="E29" s="21"/>
      <c r="F29" s="21"/>
      <c r="G29" s="21"/>
      <c r="H29" s="21"/>
      <c r="I29" s="22"/>
      <c r="J29" s="2"/>
      <c r="K29" s="20"/>
      <c r="L29" s="21"/>
      <c r="M29" s="22"/>
      <c r="N29" s="2"/>
    </row>
    <row r="30" ht="19.5" customHeight="1">
      <c r="A30" s="2"/>
      <c r="B30" s="2"/>
      <c r="C30" s="2"/>
      <c r="D30" s="2"/>
      <c r="E30" s="2"/>
      <c r="F30" s="2"/>
      <c r="G30" s="2"/>
      <c r="H30" s="2"/>
      <c r="I30" s="2"/>
      <c r="J30" s="2"/>
      <c r="K30" s="24" t="s">
        <v>28</v>
      </c>
      <c r="L30" s="25"/>
      <c r="M30" s="26"/>
      <c r="N30" s="2"/>
    </row>
    <row r="31" ht="37.5" customHeight="1">
      <c r="A31" s="2"/>
      <c r="B31" s="2"/>
      <c r="C31" s="2"/>
      <c r="D31" s="2"/>
      <c r="E31" s="2"/>
      <c r="F31" s="2"/>
      <c r="G31" s="2"/>
      <c r="H31" s="2"/>
      <c r="I31" s="2"/>
      <c r="J31" s="2"/>
      <c r="K31" s="15" t="s">
        <v>29</v>
      </c>
      <c r="M31" s="16"/>
      <c r="N31" s="2"/>
    </row>
    <row r="32" ht="33.75" customHeight="1">
      <c r="A32" s="2"/>
      <c r="B32" s="2"/>
      <c r="C32" s="2"/>
      <c r="D32" s="2"/>
      <c r="E32" s="2"/>
      <c r="F32" s="2"/>
      <c r="G32" s="2"/>
      <c r="H32" s="2"/>
      <c r="I32" s="2"/>
      <c r="J32" s="2"/>
      <c r="K32" s="20"/>
      <c r="L32" s="21"/>
      <c r="M32" s="22"/>
      <c r="N32" s="2"/>
    </row>
    <row r="33" ht="24.75" customHeight="1">
      <c r="A33" s="2"/>
      <c r="B33" s="2"/>
      <c r="C33" s="2"/>
      <c r="D33" s="2"/>
      <c r="E33" s="2"/>
      <c r="F33" s="2"/>
      <c r="G33" s="2"/>
      <c r="H33" s="2"/>
      <c r="I33" s="2"/>
      <c r="J33" s="2"/>
      <c r="K33" s="19" t="s">
        <v>30</v>
      </c>
      <c r="L33" s="5"/>
      <c r="M33" s="6"/>
      <c r="N33" s="2"/>
    </row>
    <row r="34" ht="48.75" customHeight="1">
      <c r="A34" s="14"/>
      <c r="B34" s="2"/>
      <c r="C34" s="2"/>
      <c r="D34" s="2"/>
      <c r="E34" s="2"/>
      <c r="F34" s="2"/>
      <c r="G34" s="2"/>
      <c r="H34" s="2"/>
      <c r="I34" s="2"/>
      <c r="J34" s="14"/>
      <c r="K34" s="20"/>
      <c r="L34" s="21"/>
      <c r="M34" s="22"/>
      <c r="N34" s="14"/>
    </row>
    <row r="35" ht="19.5" customHeight="1">
      <c r="A35" s="14"/>
      <c r="B35" s="2"/>
      <c r="C35" s="2"/>
      <c r="D35" s="2"/>
      <c r="E35" s="2"/>
      <c r="F35" s="2"/>
      <c r="G35" s="2"/>
      <c r="H35" s="2"/>
      <c r="I35" s="2"/>
      <c r="J35" s="14"/>
      <c r="K35" s="15" t="s">
        <v>31</v>
      </c>
      <c r="M35" s="16"/>
      <c r="N35" s="14"/>
    </row>
    <row r="36" ht="46.5" customHeight="1">
      <c r="A36" s="2"/>
      <c r="B36" s="2"/>
      <c r="C36" s="2"/>
      <c r="D36" s="2"/>
      <c r="E36" s="2"/>
      <c r="F36" s="2"/>
      <c r="G36" s="2"/>
      <c r="H36" s="2"/>
      <c r="I36" s="2"/>
      <c r="J36" s="2"/>
      <c r="K36" s="20"/>
      <c r="L36" s="21"/>
      <c r="M36" s="22"/>
      <c r="N36" s="2"/>
    </row>
    <row r="37" ht="19.5" customHeight="1">
      <c r="A37" s="2"/>
      <c r="B37" s="2"/>
      <c r="C37" s="2"/>
      <c r="D37" s="2"/>
      <c r="E37" s="2"/>
      <c r="F37" s="2"/>
      <c r="G37" s="2"/>
      <c r="H37" s="2"/>
      <c r="I37" s="2"/>
      <c r="J37" s="2"/>
      <c r="K37" s="2"/>
      <c r="L37" s="2"/>
      <c r="M37" s="2"/>
      <c r="N37" s="2"/>
    </row>
  </sheetData>
  <mergeCells count="15">
    <mergeCell ref="K15:M19"/>
    <mergeCell ref="K20:M24"/>
    <mergeCell ref="K25:M29"/>
    <mergeCell ref="K31:M32"/>
    <mergeCell ref="K33:M34"/>
    <mergeCell ref="K35:M36"/>
    <mergeCell ref="B23:I23"/>
    <mergeCell ref="B24:I29"/>
    <mergeCell ref="K2:M2"/>
    <mergeCell ref="K4:M9"/>
    <mergeCell ref="B10:I10"/>
    <mergeCell ref="B11:I14"/>
    <mergeCell ref="K11:M14"/>
    <mergeCell ref="B15:I15"/>
    <mergeCell ref="B16:I2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